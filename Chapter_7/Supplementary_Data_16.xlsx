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Y:\Danni\stradl_markers\00_NAT_COMMS_responses\00_RESUBMISSION\00_Final_revisions\"/>
    </mc:Choice>
  </mc:AlternateContent>
  <bookViews>
    <workbookView xWindow="0" yWindow="0" windowWidth="15920" windowHeight="5410"/>
  </bookViews>
  <sheets>
    <sheet name="Supplementary Data 16" sheetId="19" r:id="rId1"/>
  </sheets>
  <calcPr calcId="162913"/>
</workbook>
</file>

<file path=xl/calcChain.xml><?xml version="1.0" encoding="utf-8"?>
<calcChain xmlns="http://schemas.openxmlformats.org/spreadsheetml/2006/main">
  <c r="C24" i="19" l="1"/>
</calcChain>
</file>

<file path=xl/sharedStrings.xml><?xml version="1.0" encoding="utf-8"?>
<sst xmlns="http://schemas.openxmlformats.org/spreadsheetml/2006/main" count="67" uniqueCount="55">
  <si>
    <t>Logical Memory</t>
  </si>
  <si>
    <t>APOE haplotype</t>
  </si>
  <si>
    <t>Phenotype</t>
  </si>
  <si>
    <t>Global Grey Matter Volume</t>
  </si>
  <si>
    <t>Whole Brain Volume</t>
  </si>
  <si>
    <t>General Fractional Anisotropy</t>
  </si>
  <si>
    <t>General Mean Diffusivity</t>
  </si>
  <si>
    <t>Imaging marker</t>
  </si>
  <si>
    <t>Marker Type</t>
  </si>
  <si>
    <t>Cognitive marker</t>
  </si>
  <si>
    <t>Processing speed - Digit Symbol</t>
  </si>
  <si>
    <t>General Cognitive Ability</t>
  </si>
  <si>
    <t>General Fluid Cognitive Ability</t>
  </si>
  <si>
    <t>Non-Verbal Reasoning - Matrix Reasining Correct</t>
  </si>
  <si>
    <t>Vocabulary Score</t>
  </si>
  <si>
    <t xml:space="preserve">Verbal Reasoning - Verbal Total </t>
  </si>
  <si>
    <t>White Matter Hyperintensity Volume</t>
  </si>
  <si>
    <t>Relative Brain Age</t>
  </si>
  <si>
    <t>Fazekas score (WMH)</t>
  </si>
  <si>
    <t>Associations (P &lt; 3.5x10-4)</t>
  </si>
  <si>
    <t>P threshold was calculated by dividing alpha (0.05) by the number of independent componenets (143) that explained 80% of the cumulative variance in the 4,235 SOMAmer measurements. This equated to P &lt; 3.5x10-4.</t>
  </si>
  <si>
    <t>Total associations</t>
  </si>
  <si>
    <t>FUT10, PPY, LRRC15, CHAD, OMD, LEG1, CYB5R3, COL11A2, COL2A1</t>
  </si>
  <si>
    <t>HEXB, RNASE4, AFM, WFDC1, TLL1, NEU1, ASB9, ADAMTSL2, OLFM2, RSPO1, ITIH4, SMPD1, TPP1, STC1, HYAL1, SCUBE1, PLXNB2, SVEP1, LMAN2, SVEP1, SIGLEC12, CCL21, CTSA, LGALS3BP</t>
  </si>
  <si>
    <t>GDF15, HAVCR1, SLIT2, TNFRSF11B, ASB9, SVEP1, LGALS3BP, OAF, HTRA1, CCDC80, TREM1, MMP7, C5, ATP13A1, TNFRSF13C, DNAJB9, SVEP1, DEFA5, SPON1</t>
  </si>
  <si>
    <t>ASB9, RSPO1, HAVCR1, GDF15, CHGB, SVEP1</t>
  </si>
  <si>
    <t>HAVCR1, SLIT2, ASB9</t>
  </si>
  <si>
    <t>Gene of Proteins with positive beta coefficients</t>
  </si>
  <si>
    <t>Gene of Proteins with negative beta coefficients</t>
  </si>
  <si>
    <t>TBCA, NEFL, ING4, S100A13, BIRC2, PAF, TMCC3, CRP, FAM20A</t>
  </si>
  <si>
    <t>LRRN1, C5orf38, MENT, APOB, PEF1</t>
  </si>
  <si>
    <t>STC1, ANG, NEU1, CFHR1, TREM1, RBL2, C5, TNFRSF11B, TPP1</t>
  </si>
  <si>
    <t>SLITRK1, IGLON5, NCAN, PTPRD, SEZ6L, NPTXR</t>
  </si>
  <si>
    <t>OLFM2, ASB9, NEU1, RSPO1, GDF15, TRAPPC3, CANT1, SVEP1, ASGR1, FSTL3, TPST1, HEXB, SVEP1, CHI3L1, VIT, LEFTY2, SMPD1, CCL21, HYAL1, TAGLN</t>
  </si>
  <si>
    <t>GLIPR2, NCAN</t>
  </si>
  <si>
    <t>SPON2, ASB9, WFDC2, TNFRSF11B</t>
  </si>
  <si>
    <t>NCAN, IGLON5</t>
  </si>
  <si>
    <t>UBE2G2, HNF4A, CCL16, GALNT1, ITIH4, CFI, HTRA1, UGT1A6, LMAN2, C3, TRAPPC3, C5, TLR5, CREBBP, C3, AKR1C4, CFH, ATP13A1, NEU1, GDF15, ARHGAP36, C1RL, AMBP, GPD1, CFHR1, CDCP1, C5, PRKCG, SLC35G2, ASGR1, MPO, SIGLEC12, IDUA, FABP3, CCL19, GEM, CRP, CDH15, VAV3, PIGR, LILRA5, GFRA1, PLXDC1, F9, CPM, F9, IQCF3, GSTA1, CCL21, RARRES2, UGDH, TP53</t>
  </si>
  <si>
    <t>CHAD, COL11A2, CYB5R3, OMD, NPTN, EHMT2, COL1A1, LEG1, EGFR, ART3, LRRC15, CCDC126, COL2A1, BAGE3, PPY, SLITRK3, IGLON5, PNLIP, CST5, AMY2A, WFIKKN2</t>
  </si>
  <si>
    <t>UBE2G2, HNF4A, TRAPPC3, HTRA1, GALNT1, CCL16, GDF15, TLR5, CFI, UGT1A6, LMAN2, PRKCG, CREBBP, AMBP, C3, ITIH4, AKR1C4, ARHGAP36, NEU1, MPO, CCL21, CFH, C5, C5, CDCP1, C1RL, GPD1, IQCF3, FABP3, ATP13A1, IL1RN, CFHR1, C3, VAV3, GFRA1, IDUA, TP53, HGF</t>
  </si>
  <si>
    <t>CHAD, COL11A2, BAGE3, EGFR, CYB5R3, EHMT2, NPTN, OMD, LEG1, PPY, ART3, CCDC126, LRRC15, COL1A1, COL2A1, CST5</t>
  </si>
  <si>
    <t>TRAPPC3, UGT1A6, GDF15, UBE2G2, HMGCS1, GNPTG, NEU1, AKR1C4, ARHGAP36, GUSB, PRKCG, ALDH1A1, CCL16, GPD1, CDCP1, IL1RN, HGF, HTRA1, GALNT1, TLR5, ASGR1, TNFRSF1B, ADH1A, HNF4A, ADH4, AMBP, CST8, LILRA5, ASL, SEMA3C, TNFRSF1B, LMAN2, HRSP12, LILRA5, VAV3, CCL19, DCXR, FABP3, MPO, UGDH, SLAMF1, FAH, DNAJB9, EGLN1, LEFTY2, RARRES2, ADAMTSL2, GSTA1, MSR1, SEMA4A, AKR7A3, PPP1R1A, HSPA1B, IL18R1, TPP1, CRTAM, CRHBP, HSPA8, F9, CHI3L1, CFI, TNFRSF13C, F9, RBP5, BTN3A3, TRIO, ADH1C, VEGFA, ZHX3, CPM, SLAMF6, PUF60, TEX29, SMEK1, AFM, ALDH2, SDCBP2, CTSZ, SIGLEC7, PACAP, PTP4A1, PIGR, TREM1, MAT2B, SORD, MMP19, IARS, ACY1, CREBBP, OSM, DLL1, CNPY3, SIGLEC5, CCL21, GHRH</t>
  </si>
  <si>
    <t>COL11A2, EGFR, BAGE3, EHMT2, APOB, CHAD, GLIPR2</t>
  </si>
  <si>
    <t>ASGR1, UGT1A6, C1RL, UBE2G2, C5, IL18R1, ITIH4, TRAPPC3, HNF4A, SAA1, CRP, TREM1, ARHGAP36, MRC1, CCL16, SERPIND1, C3, CFI, INHBA, LEFTY2, FETUB, AMBP, F9, F9, NEU1, MST1, CCL21, DNAJB9, ING4, FABP3, CKB|CKM</t>
  </si>
  <si>
    <t>COL11A2, BAGE3, COL1A1, CHAD, CYB5R3, OMD, COL2A1</t>
  </si>
  <si>
    <t>HNF4A, UBE2G2, CCL16, GALNT1</t>
  </si>
  <si>
    <t>EGFR, BAGE3, NPTN</t>
  </si>
  <si>
    <t>ITIH4, UBE2G2, UGT1A6, C3, C3</t>
  </si>
  <si>
    <t>COL11A2, CHAD, AMY2A, COL1A1, AMY2B, OMD, COL2A1, WFIKKN2</t>
  </si>
  <si>
    <t>Associations are split by negative and positive beta coefficients, with gene names for proteins that had associations indicative of poorer brain health in red and more favourable brain health in blue.</t>
  </si>
  <si>
    <r>
      <t xml:space="preserve">Neurological phenotypes included brain imaging markers, </t>
    </r>
    <r>
      <rPr>
        <i/>
        <sz val="11"/>
        <color theme="1"/>
        <rFont val="Calibri"/>
        <family val="2"/>
        <scheme val="minor"/>
      </rPr>
      <t>APOE</t>
    </r>
    <r>
      <rPr>
        <sz val="11"/>
        <color theme="1"/>
        <rFont val="Calibri"/>
        <family val="2"/>
        <scheme val="minor"/>
      </rPr>
      <t xml:space="preserve"> e4 status and cognitive score measures.</t>
    </r>
  </si>
  <si>
    <r>
      <t xml:space="preserve">There were 95 associations involving imaging measures (and the levels of 60 unique proteins), 296 involving cognitive scores (and the levels of 142 unique proteins) and 14 involving </t>
    </r>
    <r>
      <rPr>
        <i/>
        <sz val="11"/>
        <color theme="1"/>
        <rFont val="Calibri"/>
        <family val="2"/>
        <scheme val="minor"/>
      </rPr>
      <t>APOE</t>
    </r>
    <r>
      <rPr>
        <sz val="11"/>
        <color theme="1"/>
        <rFont val="Calibri"/>
        <family val="2"/>
        <scheme val="minor"/>
      </rPr>
      <t xml:space="preserve"> e4 status (and the levels of 14 unique proteins).</t>
    </r>
  </si>
  <si>
    <r>
      <rPr>
        <i/>
        <sz val="11"/>
        <color theme="1"/>
        <rFont val="Calibri"/>
        <family val="2"/>
        <scheme val="minor"/>
      </rPr>
      <t>APOE</t>
    </r>
    <r>
      <rPr>
        <sz val="11"/>
        <color theme="1"/>
        <rFont val="Calibri"/>
        <family val="2"/>
        <scheme val="minor"/>
      </rPr>
      <t xml:space="preserve"> e4 status</t>
    </r>
  </si>
  <si>
    <t>Supplementary Data 16. Summary of the 191 unique protein that were implicated in a total of 405 associations with neurological phenotypes.</t>
  </si>
  <si>
    <t>The results were generated through linear regression and were adjusted for mutiple testing correction (P &lt; 3.5x10-4).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</si>
</sst>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color rgb="FFFF0000"/>
      <name val="Calibri"/>
      <family val="2"/>
      <scheme val="minor"/>
    </font>
    <font>
      <b/>
      <sz val="11"/>
      <color theme="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bgColor indexed="64"/>
      </patternFill>
    </fill>
    <fill>
      <patternFill patternType="solid">
        <fgColor theme="6"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applyAlignment="1">
      <alignment horizontal="center"/>
    </xf>
    <xf numFmtId="0" fontId="0" fillId="0" borderId="0" xfId="0" applyAlignment="1">
      <alignment horizontal="left"/>
    </xf>
    <xf numFmtId="0" fontId="16" fillId="33" borderId="10" xfId="0" applyFont="1" applyFill="1" applyBorder="1" applyAlignment="1">
      <alignment wrapText="1"/>
    </xf>
    <xf numFmtId="0" fontId="0" fillId="0" borderId="0" xfId="0" applyFont="1" applyAlignment="1">
      <alignment horizontal="left" wrapText="1"/>
    </xf>
    <xf numFmtId="0" fontId="0" fillId="35" borderId="10" xfId="0" applyFont="1" applyFill="1" applyBorder="1" applyAlignment="1">
      <alignment horizontal="left" vertical="center" wrapText="1"/>
    </xf>
    <xf numFmtId="0" fontId="0" fillId="35" borderId="10" xfId="0" applyFont="1" applyFill="1" applyBorder="1" applyAlignment="1">
      <alignment horizontal="center" vertical="center" wrapText="1"/>
    </xf>
    <xf numFmtId="0" fontId="0" fillId="0" borderId="0" xfId="0" applyFont="1" applyAlignment="1">
      <alignment horizontal="left" wrapText="1"/>
    </xf>
    <xf numFmtId="0" fontId="0" fillId="34" borderId="10" xfId="0" applyFill="1" applyBorder="1" applyAlignment="1">
      <alignment horizontal="center" vertical="center" wrapText="1"/>
    </xf>
    <xf numFmtId="0" fontId="16" fillId="34" borderId="10" xfId="0" applyFont="1" applyFill="1" applyBorder="1" applyAlignment="1">
      <alignment horizontal="left" vertical="center" wrapText="1"/>
    </xf>
    <xf numFmtId="0" fontId="19" fillId="34" borderId="10" xfId="0" applyFont="1" applyFill="1" applyBorder="1" applyAlignment="1">
      <alignment horizontal="left" vertical="center" wrapText="1"/>
    </xf>
    <xf numFmtId="0" fontId="20" fillId="34" borderId="10" xfId="0" applyFont="1" applyFill="1" applyBorder="1" applyAlignment="1">
      <alignment horizontal="left" vertical="center" wrapText="1"/>
    </xf>
    <xf numFmtId="0" fontId="0" fillId="0" borderId="10" xfId="0" applyFill="1" applyBorder="1" applyAlignment="1">
      <alignment horizontal="left" vertical="center" wrapText="1"/>
    </xf>
    <xf numFmtId="0" fontId="0" fillId="0" borderId="0" xfId="0" applyFont="1" applyAlignment="1">
      <alignment horizontal="left" wrapText="1"/>
    </xf>
    <xf numFmtId="0" fontId="0" fillId="0" borderId="0" xfId="0" applyFont="1" applyAlignment="1">
      <alignment horizontal="left" wrapText="1"/>
    </xf>
    <xf numFmtId="0" fontId="16" fillId="0" borderId="0" xfId="0" applyFont="1"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3ADD5"/>
      <color rgb="FFCBCAE2"/>
      <color rgb="FFCC00CC"/>
      <color rgb="FFFF66FF"/>
      <color rgb="FFD0F2FA"/>
      <color rgb="FF99FFCC"/>
      <color rgb="FFE1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5"/>
  <sheetViews>
    <sheetView tabSelected="1" zoomScale="57" zoomScaleNormal="70" workbookViewId="0">
      <selection activeCell="F6" sqref="F6"/>
    </sheetView>
  </sheetViews>
  <sheetFormatPr defaultRowHeight="14.5" x14ac:dyDescent="0.35"/>
  <cols>
    <col min="1" max="1" width="29.6328125" customWidth="1"/>
    <col min="2" max="2" width="21.90625" customWidth="1"/>
    <col min="3" max="3" width="25.1796875" customWidth="1"/>
    <col min="4" max="4" width="101.6328125" customWidth="1"/>
    <col min="5" max="5" width="89.36328125" customWidth="1"/>
    <col min="6" max="6" width="16.81640625" customWidth="1"/>
    <col min="7" max="7" width="31.26953125" customWidth="1"/>
    <col min="8" max="8" width="23.6328125" customWidth="1"/>
    <col min="9" max="9" width="9.90625" customWidth="1"/>
    <col min="10" max="10" width="99.08984375" customWidth="1"/>
  </cols>
  <sheetData>
    <row r="1" spans="1:8" ht="19" customHeight="1" x14ac:dyDescent="0.35">
      <c r="A1" s="15" t="s">
        <v>53</v>
      </c>
      <c r="B1" s="15"/>
      <c r="C1" s="15"/>
      <c r="D1" s="15"/>
      <c r="E1" s="15"/>
      <c r="F1" s="15"/>
      <c r="G1" s="15"/>
      <c r="H1" s="15"/>
    </row>
    <row r="2" spans="1:8" ht="19" customHeight="1" x14ac:dyDescent="0.35">
      <c r="A2" s="14" t="s">
        <v>50</v>
      </c>
      <c r="B2" s="14"/>
      <c r="C2" s="14"/>
      <c r="D2" s="14"/>
      <c r="E2" s="14"/>
      <c r="F2" s="14"/>
      <c r="G2" s="14"/>
      <c r="H2" s="14"/>
    </row>
    <row r="3" spans="1:8" ht="19.5" customHeight="1" x14ac:dyDescent="0.35">
      <c r="A3" s="14" t="s">
        <v>20</v>
      </c>
      <c r="B3" s="14"/>
      <c r="C3" s="14"/>
      <c r="D3" s="14"/>
      <c r="E3" s="14"/>
      <c r="F3" s="4"/>
      <c r="G3" s="4"/>
      <c r="H3" s="4"/>
    </row>
    <row r="4" spans="1:8" ht="19.5" customHeight="1" x14ac:dyDescent="0.35">
      <c r="A4" s="14" t="s">
        <v>51</v>
      </c>
      <c r="B4" s="14"/>
      <c r="C4" s="14"/>
      <c r="D4" s="14"/>
      <c r="E4" s="14"/>
      <c r="F4" s="7"/>
      <c r="G4" s="7"/>
      <c r="H4" s="7"/>
    </row>
    <row r="5" spans="1:8" ht="19" customHeight="1" x14ac:dyDescent="0.35">
      <c r="A5" s="14" t="s">
        <v>49</v>
      </c>
      <c r="B5" s="14"/>
      <c r="C5" s="14"/>
      <c r="D5" s="14"/>
      <c r="E5" s="14"/>
      <c r="F5" s="4"/>
      <c r="G5" s="4"/>
      <c r="H5" s="4"/>
    </row>
    <row r="6" spans="1:8" ht="19" customHeight="1" x14ac:dyDescent="0.35">
      <c r="A6" s="14" t="s">
        <v>54</v>
      </c>
      <c r="B6" s="14"/>
      <c r="C6" s="14"/>
      <c r="D6" s="14"/>
      <c r="E6" s="14"/>
      <c r="F6" s="13"/>
      <c r="G6" s="13"/>
      <c r="H6" s="13"/>
    </row>
    <row r="8" spans="1:8" ht="54.5" customHeight="1" x14ac:dyDescent="0.35">
      <c r="A8" s="3" t="s">
        <v>2</v>
      </c>
      <c r="B8" s="3" t="s">
        <v>8</v>
      </c>
      <c r="C8" s="3" t="s">
        <v>19</v>
      </c>
      <c r="D8" s="3" t="s">
        <v>28</v>
      </c>
      <c r="E8" s="3" t="s">
        <v>27</v>
      </c>
    </row>
    <row r="9" spans="1:8" ht="42.5" customHeight="1" x14ac:dyDescent="0.35">
      <c r="A9" s="12" t="s">
        <v>17</v>
      </c>
      <c r="B9" s="12" t="s">
        <v>7</v>
      </c>
      <c r="C9" s="8">
        <v>24</v>
      </c>
      <c r="D9" s="9"/>
      <c r="E9" s="10" t="s">
        <v>23</v>
      </c>
    </row>
    <row r="10" spans="1:8" ht="45" customHeight="1" x14ac:dyDescent="0.35">
      <c r="A10" s="12" t="s">
        <v>5</v>
      </c>
      <c r="B10" s="12" t="s">
        <v>7</v>
      </c>
      <c r="C10" s="8">
        <v>22</v>
      </c>
      <c r="D10" s="10" t="s">
        <v>33</v>
      </c>
      <c r="E10" s="11" t="s">
        <v>34</v>
      </c>
    </row>
    <row r="11" spans="1:8" ht="48" customHeight="1" x14ac:dyDescent="0.35">
      <c r="A11" s="12" t="s">
        <v>16</v>
      </c>
      <c r="B11" s="12" t="s">
        <v>7</v>
      </c>
      <c r="C11" s="8">
        <v>19</v>
      </c>
      <c r="D11" s="9"/>
      <c r="E11" s="10" t="s">
        <v>24</v>
      </c>
    </row>
    <row r="12" spans="1:8" ht="32.5" customHeight="1" x14ac:dyDescent="0.35">
      <c r="A12" s="12" t="s">
        <v>3</v>
      </c>
      <c r="B12" s="12" t="s">
        <v>7</v>
      </c>
      <c r="C12" s="8">
        <v>15</v>
      </c>
      <c r="D12" s="10" t="s">
        <v>31</v>
      </c>
      <c r="E12" s="11" t="s">
        <v>32</v>
      </c>
    </row>
    <row r="13" spans="1:8" ht="32.5" customHeight="1" x14ac:dyDescent="0.35">
      <c r="A13" s="12" t="s">
        <v>4</v>
      </c>
      <c r="B13" s="12" t="s">
        <v>7</v>
      </c>
      <c r="C13" s="8">
        <v>6</v>
      </c>
      <c r="D13" s="10" t="s">
        <v>35</v>
      </c>
      <c r="E13" s="11" t="s">
        <v>36</v>
      </c>
    </row>
    <row r="14" spans="1:8" ht="32.5" customHeight="1" x14ac:dyDescent="0.35">
      <c r="A14" s="12" t="s">
        <v>6</v>
      </c>
      <c r="B14" s="12" t="s">
        <v>7</v>
      </c>
      <c r="C14" s="8">
        <v>6</v>
      </c>
      <c r="D14" s="9"/>
      <c r="E14" s="10" t="s">
        <v>25</v>
      </c>
    </row>
    <row r="15" spans="1:8" ht="32.5" customHeight="1" x14ac:dyDescent="0.35">
      <c r="A15" s="12" t="s">
        <v>18</v>
      </c>
      <c r="B15" s="12" t="s">
        <v>7</v>
      </c>
      <c r="C15" s="8">
        <v>3</v>
      </c>
      <c r="D15" s="9"/>
      <c r="E15" s="10" t="s">
        <v>26</v>
      </c>
    </row>
    <row r="16" spans="1:8" ht="35" customHeight="1" x14ac:dyDescent="0.35">
      <c r="A16" s="12" t="s">
        <v>52</v>
      </c>
      <c r="B16" s="12" t="s">
        <v>1</v>
      </c>
      <c r="C16" s="8">
        <v>14</v>
      </c>
      <c r="D16" s="11" t="s">
        <v>29</v>
      </c>
      <c r="E16" s="10" t="s">
        <v>30</v>
      </c>
    </row>
    <row r="17" spans="1:5" ht="118" customHeight="1" x14ac:dyDescent="0.35">
      <c r="A17" s="12" t="s">
        <v>10</v>
      </c>
      <c r="B17" s="12" t="s">
        <v>9</v>
      </c>
      <c r="C17" s="8">
        <v>102</v>
      </c>
      <c r="D17" s="10" t="s">
        <v>41</v>
      </c>
      <c r="E17" s="11" t="s">
        <v>42</v>
      </c>
    </row>
    <row r="18" spans="1:5" ht="82" customHeight="1" x14ac:dyDescent="0.35">
      <c r="A18" s="12" t="s">
        <v>11</v>
      </c>
      <c r="B18" s="12" t="s">
        <v>9</v>
      </c>
      <c r="C18" s="8">
        <v>73</v>
      </c>
      <c r="D18" s="10" t="s">
        <v>37</v>
      </c>
      <c r="E18" s="11" t="s">
        <v>38</v>
      </c>
    </row>
    <row r="19" spans="1:5" ht="71" customHeight="1" x14ac:dyDescent="0.35">
      <c r="A19" s="12" t="s">
        <v>12</v>
      </c>
      <c r="B19" s="12" t="s">
        <v>9</v>
      </c>
      <c r="C19" s="8">
        <v>54</v>
      </c>
      <c r="D19" s="10" t="s">
        <v>39</v>
      </c>
      <c r="E19" s="11" t="s">
        <v>40</v>
      </c>
    </row>
    <row r="20" spans="1:5" ht="50" customHeight="1" x14ac:dyDescent="0.35">
      <c r="A20" s="12" t="s">
        <v>13</v>
      </c>
      <c r="B20" s="12" t="s">
        <v>9</v>
      </c>
      <c r="C20" s="8">
        <v>38</v>
      </c>
      <c r="D20" s="10" t="s">
        <v>43</v>
      </c>
      <c r="E20" s="11" t="s">
        <v>44</v>
      </c>
    </row>
    <row r="21" spans="1:5" ht="40" customHeight="1" x14ac:dyDescent="0.35">
      <c r="A21" s="12" t="s">
        <v>14</v>
      </c>
      <c r="B21" s="12" t="s">
        <v>9</v>
      </c>
      <c r="C21" s="8">
        <v>13</v>
      </c>
      <c r="D21" s="10" t="s">
        <v>47</v>
      </c>
      <c r="E21" s="11" t="s">
        <v>48</v>
      </c>
    </row>
    <row r="22" spans="1:5" ht="37.5" customHeight="1" x14ac:dyDescent="0.35">
      <c r="A22" s="12" t="s">
        <v>0</v>
      </c>
      <c r="B22" s="12" t="s">
        <v>9</v>
      </c>
      <c r="C22" s="8">
        <v>9</v>
      </c>
      <c r="D22" s="10"/>
      <c r="E22" s="11" t="s">
        <v>22</v>
      </c>
    </row>
    <row r="23" spans="1:5" ht="36.5" customHeight="1" x14ac:dyDescent="0.35">
      <c r="A23" s="12" t="s">
        <v>15</v>
      </c>
      <c r="B23" s="12" t="s">
        <v>9</v>
      </c>
      <c r="C23" s="8">
        <v>7</v>
      </c>
      <c r="D23" s="10" t="s">
        <v>45</v>
      </c>
      <c r="E23" s="11" t="s">
        <v>46</v>
      </c>
    </row>
    <row r="24" spans="1:5" ht="27" customHeight="1" x14ac:dyDescent="0.35">
      <c r="A24" s="5" t="s">
        <v>21</v>
      </c>
      <c r="B24" s="6"/>
      <c r="C24" s="6">
        <f>SUM(C9:C23)</f>
        <v>405</v>
      </c>
      <c r="D24" s="6"/>
      <c r="E24" s="6"/>
    </row>
    <row r="25" spans="1:5" x14ac:dyDescent="0.35">
      <c r="A25" s="2"/>
      <c r="B25" s="2"/>
      <c r="C25" s="1"/>
      <c r="D25" s="2"/>
    </row>
  </sheetData>
  <mergeCells count="6">
    <mergeCell ref="A6:E6"/>
    <mergeCell ref="A1:H1"/>
    <mergeCell ref="A2:H2"/>
    <mergeCell ref="A5:E5"/>
    <mergeCell ref="A3:E3"/>
    <mergeCell ref="A4:E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Data 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 Danni</dc:creator>
  <cp:lastModifiedBy>GADD Danni</cp:lastModifiedBy>
  <dcterms:created xsi:type="dcterms:W3CDTF">2021-05-05T12:35:09Z</dcterms:created>
  <dcterms:modified xsi:type="dcterms:W3CDTF">2022-07-13T15:20:18Z</dcterms:modified>
</cp:coreProperties>
</file>